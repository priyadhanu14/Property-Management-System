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Sheet " sheetId="1" r:id="rId5"/>
    <sheet state="visible" name="Accounts 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<sst xmlns="http://schemas.openxmlformats.org/spreadsheetml/2006/main" count="98" uniqueCount="53">
  <si>
    <t>Rate/day(24 hrs )</t>
  </si>
  <si>
    <t xml:space="preserve">2bhk </t>
  </si>
  <si>
    <t>A4,B1,B2,B3,B4,C2,C4</t>
  </si>
  <si>
    <t>Rate should be updatable ( but should affect only the new ones , not all the dates before new rates )</t>
  </si>
  <si>
    <t xml:space="preserve">3bhk </t>
  </si>
  <si>
    <t>C1</t>
  </si>
  <si>
    <t xml:space="preserve">Sno </t>
  </si>
  <si>
    <t xml:space="preserve">From Date </t>
  </si>
  <si>
    <t xml:space="preserve">To Date </t>
  </si>
  <si>
    <t xml:space="preserve">Name </t>
  </si>
  <si>
    <t>Phone no</t>
  </si>
  <si>
    <t xml:space="preserve">Event </t>
  </si>
  <si>
    <t xml:space="preserve">Check in Time </t>
  </si>
  <si>
    <t xml:space="preserve">Flats </t>
  </si>
  <si>
    <t xml:space="preserve">Nos.of.Days </t>
  </si>
  <si>
    <t>Booking Date ( initial )</t>
  </si>
  <si>
    <t xml:space="preserve"> initial Payment / advance</t>
  </si>
  <si>
    <t xml:space="preserve">Balance </t>
  </si>
  <si>
    <t>Balance date (sometimes paid on check-in date)</t>
  </si>
  <si>
    <t xml:space="preserve">Total Payment </t>
  </si>
  <si>
    <t>Notes / additional requirement /work to be done before handing over</t>
  </si>
  <si>
    <t xml:space="preserve">Flats Assigned </t>
  </si>
  <si>
    <t xml:space="preserve">If Possible ( A place to store Aadhar , or address proof )jpg or pdf </t>
  </si>
  <si>
    <t xml:space="preserve">Dhoni </t>
  </si>
  <si>
    <t xml:space="preserve">Marriage </t>
  </si>
  <si>
    <t xml:space="preserve">2bhk - 6                               3bhk-0 </t>
  </si>
  <si>
    <t>1,50,000</t>
  </si>
  <si>
    <t xml:space="preserve">2bhk - C2,A3,B1,B2 B3,,A4                             3bhk-0 </t>
  </si>
  <si>
    <t>Sachin</t>
  </si>
  <si>
    <t>Office</t>
  </si>
  <si>
    <t>2bhk - 2                              3bhk-1</t>
  </si>
  <si>
    <t xml:space="preserve">Need Kitchen Utensils </t>
  </si>
  <si>
    <t>2bhk - B1,A2                              3bhk-C1</t>
  </si>
  <si>
    <t>Raina</t>
  </si>
  <si>
    <t xml:space="preserve">2bhk - 5                               3bhk-0 </t>
  </si>
  <si>
    <t>Kohli</t>
  </si>
  <si>
    <t xml:space="preserve">Office </t>
  </si>
  <si>
    <t>2bhk - 2                             3bhk-1</t>
  </si>
  <si>
    <t xml:space="preserve">Need keys for both the rooms </t>
  </si>
  <si>
    <t xml:space="preserve">Rohit </t>
  </si>
  <si>
    <t>2bhk - 7                               3bhk-1</t>
  </si>
  <si>
    <t xml:space="preserve">need induction and light cooking utensils </t>
  </si>
  <si>
    <t xml:space="preserve">Month </t>
  </si>
  <si>
    <t>Sno</t>
  </si>
  <si>
    <t xml:space="preserve"> initial Payment </t>
  </si>
  <si>
    <t xml:space="preserve">Payed During check in </t>
  </si>
  <si>
    <t xml:space="preserve">Balance date </t>
  </si>
  <si>
    <t xml:space="preserve">Notes </t>
  </si>
  <si>
    <t>Nov</t>
  </si>
  <si>
    <t xml:space="preserve">Total </t>
  </si>
  <si>
    <t>Dec</t>
  </si>
  <si>
    <t xml:space="preserve">May </t>
  </si>
  <si>
    <t xml:space="preserve">Tony stark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</si>
</sst>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3" fontId="1" numFmtId="0" xfId="0" applyFill="1" applyFont="1"/>
    <xf borderId="0" fillId="2" fontId="1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 shrinkToFit="0" wrapText="1"/>
    </xf>
    <xf borderId="0" fillId="0" fontId="1" numFmtId="3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3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8" width="17.88"/>
    <col customWidth="1" min="9" max="9" width="16.5"/>
    <col customWidth="1" min="10" max="10" width="17.25"/>
    <col customWidth="1" min="11" max="11" width="22.0"/>
    <col customWidth="1" min="13" max="13" width="19.38"/>
    <col customWidth="1" min="17" max="17" width="44.13"/>
  </cols>
  <sheetData>
    <row r="1">
      <c r="C1" s="1"/>
      <c r="D1" s="1"/>
      <c r="E1" s="1"/>
      <c r="F1" s="1"/>
      <c r="G1" s="2"/>
      <c r="H1" s="2" t="s">
        <v>0</v>
      </c>
      <c r="I1" s="1"/>
      <c r="J1" s="1"/>
      <c r="K1" s="3"/>
    </row>
    <row r="2">
      <c r="C2" s="1"/>
      <c r="D2" s="2" t="s">
        <v>1</v>
      </c>
      <c r="E2" s="2"/>
      <c r="F2" s="2">
        <v>7.0</v>
      </c>
      <c r="G2" s="2"/>
      <c r="H2" s="2">
        <v>5000.0</v>
      </c>
      <c r="I2" s="4" t="s">
        <v>2</v>
      </c>
      <c r="J2" s="1"/>
      <c r="K2" s="5" t="s">
        <v>3</v>
      </c>
    </row>
    <row r="3">
      <c r="C3" s="1"/>
      <c r="D3" s="2" t="s">
        <v>4</v>
      </c>
      <c r="E3" s="2"/>
      <c r="F3" s="2">
        <v>1.0</v>
      </c>
      <c r="G3" s="2"/>
      <c r="H3" s="2">
        <v>7000.0</v>
      </c>
      <c r="I3" s="2" t="s">
        <v>5</v>
      </c>
      <c r="J3" s="1"/>
      <c r="K3" s="3"/>
    </row>
    <row r="4">
      <c r="A4" s="6"/>
      <c r="B4" s="6"/>
      <c r="C4" s="6"/>
      <c r="D4" s="6"/>
      <c r="E4" s="6"/>
      <c r="F4" s="6"/>
      <c r="G4" s="6"/>
      <c r="H4" s="6"/>
      <c r="I4" s="7"/>
      <c r="J4" s="7"/>
      <c r="K4" s="6"/>
      <c r="L4" s="6"/>
      <c r="M4" s="6"/>
      <c r="N4" s="6"/>
      <c r="O4" s="6"/>
      <c r="P4" s="6"/>
    </row>
    <row r="5">
      <c r="A5" s="6"/>
      <c r="B5" s="6"/>
      <c r="C5" s="6"/>
      <c r="D5" s="6"/>
      <c r="E5" s="6"/>
      <c r="F5" s="6"/>
      <c r="G5" s="6"/>
      <c r="H5" s="6"/>
      <c r="I5" s="7"/>
      <c r="J5" s="7"/>
      <c r="K5" s="6"/>
      <c r="L5" s="6"/>
      <c r="M5" s="6"/>
      <c r="N5" s="6"/>
      <c r="O5" s="6"/>
      <c r="P5" s="6"/>
    </row>
    <row r="6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7" t="s">
        <v>14</v>
      </c>
      <c r="J6" s="7" t="s">
        <v>15</v>
      </c>
      <c r="K6" s="6" t="s">
        <v>16</v>
      </c>
      <c r="L6" s="6" t="s">
        <v>17</v>
      </c>
      <c r="M6" s="7" t="s">
        <v>18</v>
      </c>
      <c r="N6" s="6" t="s">
        <v>19</v>
      </c>
      <c r="O6" s="7" t="s">
        <v>20</v>
      </c>
      <c r="P6" s="6" t="s">
        <v>21</v>
      </c>
      <c r="Q6" s="7" t="s">
        <v>22</v>
      </c>
    </row>
    <row r="8">
      <c r="A8" s="6">
        <v>1.0</v>
      </c>
      <c r="B8" s="8">
        <v>46051.0</v>
      </c>
      <c r="C8" s="8">
        <v>46056.0</v>
      </c>
      <c r="D8" s="6" t="s">
        <v>23</v>
      </c>
      <c r="F8" s="6" t="s">
        <v>24</v>
      </c>
      <c r="G8" s="9">
        <v>0.875</v>
      </c>
      <c r="H8" s="7" t="s">
        <v>25</v>
      </c>
      <c r="I8" s="6">
        <v>5.0</v>
      </c>
      <c r="J8" s="8">
        <v>45995.0</v>
      </c>
      <c r="K8" s="6">
        <v>30000.0</v>
      </c>
      <c r="L8" s="6">
        <v>120000.0</v>
      </c>
      <c r="M8" s="8">
        <v>45686.0</v>
      </c>
      <c r="N8" s="6" t="s">
        <v>26</v>
      </c>
      <c r="P8" s="7" t="s">
        <v>27</v>
      </c>
    </row>
    <row r="10">
      <c r="A10" s="6">
        <v>2.0</v>
      </c>
      <c r="B10" s="8">
        <v>46182.0</v>
      </c>
      <c r="C10" s="8">
        <v>46186.0</v>
      </c>
      <c r="D10" s="6" t="s">
        <v>28</v>
      </c>
      <c r="E10" s="6"/>
      <c r="F10" s="6" t="s">
        <v>29</v>
      </c>
      <c r="G10" s="9">
        <v>0.3333333333333333</v>
      </c>
      <c r="H10" s="7" t="s">
        <v>30</v>
      </c>
      <c r="I10" s="6">
        <v>4.0</v>
      </c>
      <c r="J10" s="8">
        <v>46036.0</v>
      </c>
      <c r="K10" s="6">
        <v>7000.0</v>
      </c>
      <c r="L10" s="6">
        <v>61000.0</v>
      </c>
      <c r="M10" s="8"/>
      <c r="N10" s="10">
        <v>68000.0</v>
      </c>
      <c r="O10" s="7" t="s">
        <v>31</v>
      </c>
      <c r="P10" s="7" t="s">
        <v>32</v>
      </c>
    </row>
    <row r="12">
      <c r="A12" s="6">
        <v>3.0</v>
      </c>
      <c r="B12" s="8">
        <v>46144.0</v>
      </c>
      <c r="C12" s="8">
        <v>46146.0</v>
      </c>
      <c r="D12" s="6" t="s">
        <v>33</v>
      </c>
      <c r="E12" s="6"/>
      <c r="F12" s="6" t="s">
        <v>24</v>
      </c>
      <c r="G12" s="9">
        <v>0.4375</v>
      </c>
      <c r="H12" s="7" t="s">
        <v>34</v>
      </c>
      <c r="I12" s="6">
        <v>2.0</v>
      </c>
      <c r="J12" s="8">
        <v>45995.0</v>
      </c>
      <c r="K12" s="6">
        <v>5000.0</v>
      </c>
      <c r="L12" s="6">
        <v>45000.0</v>
      </c>
      <c r="M12" s="8"/>
      <c r="N12" s="10">
        <v>50000.0</v>
      </c>
      <c r="P12" s="7"/>
    </row>
    <row r="14">
      <c r="A14" s="6">
        <v>4.0</v>
      </c>
      <c r="B14" s="8">
        <v>46144.0</v>
      </c>
      <c r="C14" s="8">
        <v>46146.0</v>
      </c>
      <c r="D14" s="6" t="s">
        <v>35</v>
      </c>
      <c r="E14" s="6"/>
      <c r="F14" s="6" t="s">
        <v>36</v>
      </c>
      <c r="G14" s="9">
        <v>0.625</v>
      </c>
      <c r="H14" s="7" t="s">
        <v>37</v>
      </c>
      <c r="I14" s="6">
        <v>2.0</v>
      </c>
      <c r="J14" s="8">
        <v>46005.0</v>
      </c>
      <c r="K14" s="6">
        <v>4000.0</v>
      </c>
      <c r="L14" s="6">
        <v>29000.0</v>
      </c>
      <c r="M14" s="8"/>
      <c r="N14" s="6">
        <v>34000.0</v>
      </c>
      <c r="O14" s="7" t="s">
        <v>38</v>
      </c>
      <c r="P14" s="7"/>
    </row>
    <row r="17">
      <c r="A17" s="6">
        <v>6.0</v>
      </c>
      <c r="B17" s="8">
        <v>46149.0</v>
      </c>
      <c r="C17" s="8">
        <v>46152.0</v>
      </c>
      <c r="D17" s="6" t="s">
        <v>39</v>
      </c>
      <c r="E17" s="6"/>
      <c r="F17" s="6" t="s">
        <v>24</v>
      </c>
      <c r="G17" s="9">
        <v>0.75</v>
      </c>
      <c r="H17" s="7" t="s">
        <v>40</v>
      </c>
      <c r="I17" s="6">
        <v>3.0</v>
      </c>
      <c r="J17" s="8">
        <v>45972.0</v>
      </c>
      <c r="K17" s="6">
        <v>15000.0</v>
      </c>
      <c r="L17" s="6">
        <v>111000.0</v>
      </c>
      <c r="M17" s="8"/>
      <c r="N17" s="6">
        <v>126000.0</v>
      </c>
      <c r="O17" s="7" t="s">
        <v>41</v>
      </c>
      <c r="P17" s="7"/>
    </row>
    <row r="19">
      <c r="A19" s="6">
        <v>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20.25"/>
  </cols>
  <sheetData>
    <row r="3">
      <c r="A3" s="6" t="s">
        <v>42</v>
      </c>
      <c r="B3" s="6" t="s">
        <v>43</v>
      </c>
      <c r="C3" s="6" t="s">
        <v>7</v>
      </c>
      <c r="D3" s="6" t="s">
        <v>8</v>
      </c>
      <c r="E3" s="6" t="s">
        <v>9</v>
      </c>
      <c r="F3" s="6" t="s">
        <v>11</v>
      </c>
      <c r="G3" s="6" t="s">
        <v>13</v>
      </c>
      <c r="H3" s="7" t="s">
        <v>14</v>
      </c>
      <c r="I3" s="7" t="s">
        <v>15</v>
      </c>
      <c r="J3" s="6" t="s">
        <v>44</v>
      </c>
      <c r="K3" s="6" t="s">
        <v>17</v>
      </c>
      <c r="L3" s="7" t="s">
        <v>45</v>
      </c>
      <c r="M3" s="6" t="s">
        <v>46</v>
      </c>
      <c r="N3" s="6" t="s">
        <v>19</v>
      </c>
      <c r="O3" s="6" t="s">
        <v>47</v>
      </c>
      <c r="P3" s="6" t="s">
        <v>21</v>
      </c>
    </row>
    <row r="14">
      <c r="A14" s="6" t="s">
        <v>48</v>
      </c>
      <c r="B14" s="6">
        <v>1.0</v>
      </c>
      <c r="C14" s="8">
        <v>46149.0</v>
      </c>
      <c r="D14" s="8">
        <v>46152.0</v>
      </c>
      <c r="E14" s="6" t="s">
        <v>39</v>
      </c>
      <c r="F14" s="6" t="s">
        <v>24</v>
      </c>
      <c r="G14" s="7" t="s">
        <v>40</v>
      </c>
      <c r="H14" s="6">
        <v>3.0</v>
      </c>
      <c r="I14" s="8">
        <v>45972.0</v>
      </c>
      <c r="J14" s="6">
        <v>15000.0</v>
      </c>
      <c r="K14" s="6">
        <v>111000.0</v>
      </c>
      <c r="L14" s="8"/>
      <c r="M14" s="8"/>
      <c r="N14" s="6">
        <v>126000.0</v>
      </c>
      <c r="O14" s="7" t="s">
        <v>41</v>
      </c>
      <c r="P14" s="7"/>
    </row>
    <row r="17">
      <c r="A17" s="11" t="s">
        <v>49</v>
      </c>
      <c r="B17" s="3"/>
      <c r="C17" s="3"/>
      <c r="D17" s="3"/>
      <c r="E17" s="3"/>
      <c r="F17" s="3"/>
      <c r="G17" s="3"/>
      <c r="H17" s="3"/>
      <c r="I17" s="3"/>
      <c r="J17" s="3">
        <f>Sum(J9:J15)</f>
        <v>15000</v>
      </c>
      <c r="K17" s="3"/>
      <c r="L17" s="3">
        <f>Sum(L9:L15)</f>
        <v>0</v>
      </c>
      <c r="M17" s="3"/>
      <c r="N17" s="3"/>
      <c r="O17" s="3"/>
    </row>
    <row r="18">
      <c r="A18" s="11"/>
      <c r="B18" s="11"/>
      <c r="C18" s="12"/>
      <c r="D18" s="12"/>
      <c r="E18" s="11"/>
      <c r="F18" s="11"/>
      <c r="G18" s="5"/>
      <c r="H18" s="11"/>
      <c r="I18" s="12"/>
      <c r="J18" s="11"/>
      <c r="K18" s="11"/>
      <c r="L18" s="12"/>
      <c r="M18" s="12"/>
      <c r="N18" s="11"/>
      <c r="O18" s="3"/>
      <c r="P18" s="7"/>
    </row>
    <row r="19">
      <c r="A19" s="6" t="s">
        <v>50</v>
      </c>
      <c r="B19" s="6">
        <v>1.0</v>
      </c>
      <c r="C19" s="8">
        <v>46051.0</v>
      </c>
      <c r="D19" s="8">
        <v>46056.0</v>
      </c>
      <c r="E19" s="6" t="s">
        <v>23</v>
      </c>
      <c r="F19" s="6" t="s">
        <v>24</v>
      </c>
      <c r="G19" s="7" t="s">
        <v>25</v>
      </c>
      <c r="H19" s="6">
        <v>5.0</v>
      </c>
      <c r="I19" s="8">
        <v>45995.0</v>
      </c>
      <c r="J19" s="6">
        <v>30000.0</v>
      </c>
      <c r="K19" s="6">
        <v>120000.0</v>
      </c>
      <c r="L19" s="8"/>
      <c r="M19" s="8">
        <v>45686.0</v>
      </c>
      <c r="N19" s="6" t="s">
        <v>26</v>
      </c>
      <c r="P19" s="7" t="s">
        <v>27</v>
      </c>
    </row>
    <row r="21">
      <c r="B21" s="6">
        <v>2.0</v>
      </c>
      <c r="C21" s="8">
        <v>46182.0</v>
      </c>
      <c r="D21" s="8">
        <v>46186.0</v>
      </c>
      <c r="E21" s="6" t="s">
        <v>28</v>
      </c>
      <c r="F21" s="6" t="s">
        <v>29</v>
      </c>
      <c r="G21" s="7" t="s">
        <v>30</v>
      </c>
      <c r="H21" s="6">
        <v>4.0</v>
      </c>
      <c r="I21" s="8">
        <v>46036.0</v>
      </c>
      <c r="J21" s="6">
        <v>7000.0</v>
      </c>
      <c r="K21" s="6">
        <v>61000.0</v>
      </c>
      <c r="L21" s="8"/>
      <c r="M21" s="8"/>
      <c r="N21" s="10">
        <v>68000.0</v>
      </c>
      <c r="O21" s="7" t="s">
        <v>31</v>
      </c>
      <c r="P21" s="7" t="s">
        <v>32</v>
      </c>
    </row>
    <row r="23">
      <c r="B23" s="6">
        <v>3.0</v>
      </c>
      <c r="C23" s="8">
        <v>46144.0</v>
      </c>
      <c r="D23" s="8">
        <v>46146.0</v>
      </c>
      <c r="E23" s="6" t="s">
        <v>33</v>
      </c>
      <c r="F23" s="6" t="s">
        <v>24</v>
      </c>
      <c r="G23" s="7" t="s">
        <v>34</v>
      </c>
      <c r="H23" s="6">
        <v>2.0</v>
      </c>
      <c r="I23" s="8">
        <v>45995.0</v>
      </c>
      <c r="J23" s="6">
        <v>5000.0</v>
      </c>
      <c r="K23" s="6">
        <v>45000.0</v>
      </c>
      <c r="L23" s="8"/>
      <c r="M23" s="8"/>
      <c r="N23" s="10">
        <v>50000.0</v>
      </c>
      <c r="P23" s="7"/>
    </row>
    <row r="25">
      <c r="B25" s="6">
        <v>4.0</v>
      </c>
      <c r="C25" s="8">
        <v>46144.0</v>
      </c>
      <c r="D25" s="8">
        <v>46146.0</v>
      </c>
      <c r="E25" s="6" t="s">
        <v>35</v>
      </c>
      <c r="F25" s="6" t="s">
        <v>36</v>
      </c>
      <c r="G25" s="7" t="s">
        <v>37</v>
      </c>
      <c r="H25" s="6">
        <v>2.0</v>
      </c>
      <c r="I25" s="8">
        <v>46005.0</v>
      </c>
      <c r="J25" s="6">
        <v>5000.0</v>
      </c>
      <c r="K25" s="6">
        <v>29000.0</v>
      </c>
      <c r="L25" s="8"/>
      <c r="M25" s="8"/>
      <c r="N25" s="6">
        <v>34000.0</v>
      </c>
      <c r="O25" s="7" t="s">
        <v>38</v>
      </c>
      <c r="P25" s="7"/>
    </row>
    <row r="27">
      <c r="A27" s="3"/>
      <c r="B27" s="3"/>
      <c r="C27" s="3"/>
      <c r="D27" s="3"/>
      <c r="E27" s="3"/>
      <c r="F27" s="3"/>
      <c r="G27" s="3"/>
      <c r="H27" s="3"/>
      <c r="I27" s="3"/>
      <c r="J27" s="3">
        <f>Sum(J21:J25)</f>
        <v>17000</v>
      </c>
      <c r="K27" s="3"/>
      <c r="L27" s="3">
        <f>Sum(L22:L25)</f>
        <v>0</v>
      </c>
      <c r="M27" s="3"/>
      <c r="N27" s="3"/>
      <c r="O27" s="3"/>
    </row>
    <row r="28">
      <c r="A28" s="11" t="s">
        <v>49</v>
      </c>
      <c r="B28" s="3">
        <f>Sum(J27,L27)</f>
        <v>17000</v>
      </c>
      <c r="C28" s="3"/>
      <c r="D28" s="3"/>
      <c r="E28" s="3"/>
      <c r="F28" s="3"/>
      <c r="G28" s="3"/>
      <c r="H28" s="3"/>
      <c r="I28" s="3"/>
      <c r="K28" s="3"/>
      <c r="L28" s="3"/>
      <c r="M28" s="3"/>
      <c r="N28" s="3"/>
      <c r="O28" s="3"/>
    </row>
    <row r="31">
      <c r="A31" s="6" t="s">
        <v>51</v>
      </c>
      <c r="B31" s="6">
        <v>1.0</v>
      </c>
      <c r="C31" s="8">
        <v>46144.0</v>
      </c>
      <c r="D31" s="8">
        <v>46146.0</v>
      </c>
      <c r="E31" s="6" t="s">
        <v>33</v>
      </c>
      <c r="F31" s="6" t="s">
        <v>24</v>
      </c>
      <c r="G31" s="7" t="s">
        <v>34</v>
      </c>
      <c r="H31" s="6">
        <v>2.0</v>
      </c>
      <c r="I31" s="8">
        <v>45995.0</v>
      </c>
      <c r="K31" s="6">
        <v>45000.0</v>
      </c>
      <c r="L31" s="6">
        <v>35000.0</v>
      </c>
      <c r="M31" s="8">
        <v>46144.0</v>
      </c>
      <c r="N31" s="10">
        <v>50000.0</v>
      </c>
      <c r="P31" s="7"/>
    </row>
    <row r="32">
      <c r="L32" s="6">
        <v>10000.0</v>
      </c>
      <c r="M32" s="8">
        <v>46146.0</v>
      </c>
    </row>
    <row r="33">
      <c r="B33" s="6">
        <v>2.0</v>
      </c>
      <c r="C33" s="8">
        <v>46144.0</v>
      </c>
      <c r="D33" s="8">
        <v>46146.0</v>
      </c>
      <c r="E33" s="6" t="s">
        <v>35</v>
      </c>
      <c r="F33" s="6" t="s">
        <v>36</v>
      </c>
      <c r="G33" s="7" t="s">
        <v>37</v>
      </c>
      <c r="H33" s="6">
        <v>2.0</v>
      </c>
      <c r="I33" s="8">
        <v>46005.0</v>
      </c>
      <c r="K33" s="6">
        <v>29000.0</v>
      </c>
      <c r="L33" s="6">
        <v>29000.0</v>
      </c>
      <c r="M33" s="8">
        <v>46144.0</v>
      </c>
      <c r="N33" s="6">
        <v>34000.0</v>
      </c>
      <c r="O33" s="7" t="s">
        <v>38</v>
      </c>
      <c r="P33" s="7"/>
    </row>
    <row r="35">
      <c r="B35" s="6">
        <v>3.0</v>
      </c>
      <c r="C35" s="8">
        <v>46236.0</v>
      </c>
      <c r="D35" s="8">
        <v>46238.0</v>
      </c>
      <c r="E35" s="6" t="s">
        <v>52</v>
      </c>
      <c r="F35" s="6" t="s">
        <v>24</v>
      </c>
      <c r="G35" s="7" t="s">
        <v>25</v>
      </c>
      <c r="H35" s="6">
        <v>5.0</v>
      </c>
      <c r="I35" s="8">
        <v>46144.0</v>
      </c>
      <c r="J35" s="6">
        <v>30000.0</v>
      </c>
      <c r="K35" s="6">
        <v>120000.0</v>
      </c>
      <c r="L35" s="8"/>
      <c r="M35" s="8"/>
      <c r="N35" s="6" t="s">
        <v>26</v>
      </c>
    </row>
    <row r="37">
      <c r="A37" s="3"/>
      <c r="B37" s="3"/>
      <c r="C37" s="3"/>
      <c r="D37" s="3"/>
      <c r="E37" s="3"/>
      <c r="F37" s="3"/>
      <c r="G37" s="3"/>
      <c r="H37" s="3"/>
      <c r="I37" s="3"/>
      <c r="J37" s="3">
        <f>Sum(J29:J36)</f>
        <v>30000</v>
      </c>
      <c r="K37" s="3"/>
      <c r="L37" s="3">
        <f>Sum(L30:L36)</f>
        <v>74000</v>
      </c>
      <c r="M37" s="3"/>
      <c r="N37" s="3"/>
      <c r="O37" s="3"/>
    </row>
    <row r="38">
      <c r="A38" s="11" t="s">
        <v>49</v>
      </c>
      <c r="B38" s="3">
        <f>Sum(J37,L37)</f>
        <v>104000</v>
      </c>
      <c r="C38" s="3"/>
      <c r="D38" s="3"/>
      <c r="E38" s="3"/>
      <c r="F38" s="3"/>
      <c r="G38" s="3"/>
      <c r="H38" s="3"/>
      <c r="I38" s="3"/>
      <c r="K38" s="3"/>
      <c r="L38" s="3"/>
      <c r="M38" s="3"/>
      <c r="N38" s="3"/>
      <c r="O38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